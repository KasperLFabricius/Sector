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xr:revisionPtr revIDLastSave="0" documentId="8_{5C5A6F5D-77B5-48A7-8555-BB0B2DB8E814}" xr6:coauthVersionLast="47" xr6:coauthVersionMax="47" xr10:uidLastSave="{00000000-0000-0000-0000-000000000000}"/>
  <bookViews>
    <workbookView xWindow="-120" yWindow="-120" windowWidth="38640" windowHeight="21120" xr2:uid="{63BC7C18-72B2-4966-BEC9-0B8D68CF5471}"/>
  </bookViews>
  <sheets>
    <sheet name="Read Me" sheetId="5" r:id="rId1"/>
    <sheet name="Decisions" sheetId="4" r:id="rId2"/>
    <sheet name="PR Programme" sheetId="3" r:id="rId3"/>
    <sheet name="Standards" sheetId="2" r:id="rId4"/>
    <sheet name="Publication QA" sheetId="1" r:id="rId5"/>
  </sheets>
  <definedNames>
    <definedName name="_xlnm.Print_Area" localSheetId="1">Decisions!$A$1:$G$31</definedName>
    <definedName name="_xlnm.Print_Area" localSheetId="2">'PR Programme'!$A$1:$D$14</definedName>
    <definedName name="_xlnm.Print_Area" localSheetId="4">'Publication QA'!$A$1:$D$19</definedName>
    <definedName name="_xlnm.Print_Area" localSheetId="0">'Read Me'!$A$1:$G$18</definedName>
    <definedName name="_xlnm.Print_Area" localSheetId="3">Standards!$A$1:$D$8</definedName>
    <definedName name="_xlnm.Print_Titles" localSheetId="1">Decisions!$1:$4</definedName>
    <definedName name="_xlnm.Print_Titles" localSheetId="2">'PR Programme'!$1:$4</definedName>
    <definedName name="_xlnm.Print_Titles" localSheetId="4">'Publication QA'!$1:$4</definedName>
    <definedName name="_xlnm.Print_Titles" localSheetId="0">'Read Me'!$1:$4</definedName>
    <definedName name="_xlnm.Print_Titles" localSheetId="3">Standards!$1:$4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9" i="5" l="1"/>
  <c r="E8" i="5"/>
  <c r="E7" i="5"/>
  <c r="E6" i="5"/>
  <c r="E5" i="5"/>
</calcChain>
</file>

<file path=xl/sharedStrings.xml><?xml version="1.0" encoding="utf-8"?>
<sst xmlns="http://schemas.openxmlformats.org/spreadsheetml/2006/main" count="340" uniqueCount="251">
  <si>
    <t>Sector v0.93 Decision Register</t>
  </si>
  <si>
    <t>Owner decisions and programme controls - frozen 2026-08-08</t>
  </si>
  <si>
    <t>Record</t>
  </si>
  <si>
    <t>Value</t>
  </si>
  <si>
    <t>Target release</t>
  </si>
  <si>
    <t>Sector 0.93</t>
  </si>
  <si>
    <t>Programme baseline</t>
  </si>
  <si>
    <t>decd1232abb0a082639de90726c125dc988e1078</t>
  </si>
  <si>
    <t>Baseline tree</t>
  </si>
  <si>
    <t>f09bf8cb500f2ae02c2c30a8f085c67153fe619a</t>
  </si>
  <si>
    <t>Baseline release</t>
  </si>
  <si>
    <t>v0.92-source.1</t>
  </si>
  <si>
    <t>Decision freeze date</t>
  </si>
  <si>
    <t>Canonical record</t>
  </si>
  <si>
    <t>docs/v093_decision_register.md</t>
  </si>
  <si>
    <t>Canonical record LF-normalized SHA-256</t>
  </si>
  <si>
    <t>4BA8FEA833BF453BE627C59B1828C70140C11453B9F0B7E16D5F8C67C46F88B8</t>
  </si>
  <si>
    <t>Governing identity</t>
  </si>
  <si>
    <t>docs/product_identity.md</t>
  </si>
  <si>
    <t>Live summary</t>
  </si>
  <si>
    <t>Count</t>
  </si>
  <si>
    <t>Frozen decisions</t>
  </si>
  <si>
    <t>Implementation decisions</t>
  </si>
  <si>
    <t>Deferred decisions</t>
  </si>
  <si>
    <t>Planned PR slices</t>
  </si>
  <si>
    <t>PR slices in progress</t>
  </si>
  <si>
    <t>Authority and use: this workbook is a formatted snapshot of the accepted Markdown decision register. The accepted Git revision is authoritative if a discrepancy is found. Sector remains a transparent structural calculation tool, not an engineering certification or global compliance system. A qualified engineer remains responsible for applicability, inputs, modelling, independent verification and acceptance.</t>
  </si>
  <si>
    <t>Frozen owner decisions</t>
  </si>
  <si>
    <t>Filter by PR, status or disposition. Complete wording is retained from the canonical register.</t>
  </si>
  <si>
    <t>Decision ID</t>
  </si>
  <si>
    <t>Frozen decision</t>
  </si>
  <si>
    <t>Reason and boundary</t>
  </si>
  <si>
    <t>Acceptance evidence</t>
  </si>
  <si>
    <t>Owning PR</t>
  </si>
  <si>
    <t>Status</t>
  </si>
  <si>
    <t>Disposition</t>
  </si>
  <si>
    <t>D093-001</t>
  </si>
  <si>
    <t>Raise Sector from 0.92 to 0.93 only after the complete programme gate passes.</t>
  </si>
  <si>
    <t>Intermediate PRs remain development candidates. The Sector name, description, author, copyright holder and licensee must not drift.</t>
  </si>
  <si>
    <t>Identity tests and exact-head release gate agree on every version and legal surface.</t>
  </si>
  <si>
    <t>PR-09</t>
  </si>
  <si>
    <t>Frozen</t>
  </si>
  <si>
    <t>Implement</t>
  </si>
  <si>
    <t>D093-002</t>
  </si>
  <si>
    <t>Legacy project compatibility is not required.</t>
  </si>
  <si>
    <t>Sector is not yet internally QA-released. The next schema is current-only and older schemas fail closed with a clear message; no migration layer is added.</t>
  </si>
  <si>
    <t>Schema round-trip, unsupported-version and integrity tests.</t>
  </si>
  <si>
    <t>PR-02 and PR-09</t>
  </si>
  <si>
    <t>D093-003</t>
  </si>
  <si>
    <t>Use risk-based testing during development.</t>
  </si>
  <si>
    <t>Every PR runs its directly affected tests plus cheap shared guards. Unaffected solver-heavy suites may be skipped on bounded PRs. Full static, numerical, UI, publication and packaging gates run before 0.93.</t>
  </si>
  <si>
    <t>Per-PR test matrix and final full-gate receipt.</t>
  </si>
  <si>
    <t>All; PR-09 closes</t>
  </si>
  <si>
    <t>D093-004</t>
  </si>
  <si>
    <t>Every editable Streamlit table gets a concise definition block above it and useful plain-text column help.</t>
  </si>
  <si>
    <t>Streamlit data-editor cells do not render Markdown or LaTeX. A shared metadata source supplies a readable notation guide above the editor while the editor retains accessible plain headers and tooltips.</t>
  </si>
  <si>
    <t>Metadata completeness tests, AppTest visibility checks and visual review.</t>
  </si>
  <si>
    <t>PR-04</t>
  </si>
  <si>
    <t>D093-005</t>
  </si>
  <si>
    <t>Table notation uses mathematical formatting outside the editor.</t>
  </si>
  <si>
    <t>Symbols, subscripts and units are shown with Streamlit math/Markdown in the definition block. Plain-text equivalents remain available for accessibility and copy/paste.</t>
  </si>
  <si>
    <t>Cross-surface symbol registry tests and UI snapshots.</t>
  </si>
  <si>
    <t>D093-006</t>
  </si>
  <si>
    <t>Load action fields accept decimal values.</t>
  </si>
  <si>
    <t>Native entry accepts unrestricted floating-point precision. Paste/import accepts decimal dot and decimal comma when unambiguous, then stores one canonical numeric value. No value is rounded to the editor step.</t>
  </si>
  <si>
    <t>Decimal entry, paste/import and round-trip tests.</t>
  </si>
  <si>
    <t>D093-007</t>
  </si>
  <si>
    <t>Blank numeric load fields normally mean 0.0.</t>
  </si>
  <si>
    <t>Loadcase identity and genuine selectors remain required. Blank action cells are normalized to zero without deleting the user's other row data. Fields where blank has domain meaning, especially an optional crack limit, are explicit exceptions and remain null.</t>
  </si>
  <si>
    <t>Sparse-row, edit-cycle, calculate, save/load and malformed-cell tests.</t>
  </si>
  <si>
    <t>PR-04 and PR-06</t>
  </si>
  <si>
    <t>D093-008</t>
  </si>
  <si>
    <t>Deleted catalogue IDs are reusable.</t>
  </si>
  <si>
    <t>Mild steel, prestress and fatigue families allocate the lowest unused positive suffix. Deleting M2 permits the next mild-steel family to become M2; assigned-family deletion safeguards remain.</t>
  </si>
  <si>
    <t>M/P/F allocation, deletion and project round-trip tests.</t>
  </si>
  <si>
    <t>D093-009</t>
  </si>
  <si>
    <t>Replace the outer input-stage dropdown with tabs without rendering inactive stages.</t>
  </si>
  <si>
    <t>Stateful Streamlit tabs provide direct navigation. Only the open stage mounts its expensive controls, and completed-input snapshots remain coherent across rapid changes.</t>
  </si>
  <si>
    <t>Host unit tests, AppTest navigation/freshness tests and performance probe.</t>
  </si>
  <si>
    <t>PR-05</t>
  </si>
  <si>
    <t>D093-010</t>
  </si>
  <si>
    <t>Make the modelled direction explicit for minimum reinforcement.</t>
  </si>
  <si>
    <t>The direction is member-relative and is shown before the check, in results, reports and the manual. A project may add an optional alias, but the canonical longitudinal/transverse meaning remains visible.</t>
  </si>
  <si>
    <t>Shared-label tests and cross-surface publication checks.</t>
  </si>
  <si>
    <t>D093-011</t>
  </si>
  <si>
    <t>Ordinary crack-width acceptance is optional.</t>
  </si>
  <si>
    <t>Sector always displays the calculated crack width when available. With no user criterion it reports CALCULATED - ACCEPTANCE NOT ASSESSED. When a positive finite user criterion is supplied, Sector publishes the limit, ratio and the controlled result WITHIN USER-SPECIFIED LIMIT or EXCEEDS USER-SPECIFIED LIMIT. It does not infer an exposure limit or global compliance, and it does not reuse demand/resistance PASS/FAIL terminology.</t>
  </si>
  <si>
    <t>Solver, schema, UI, cache-signature, report and manual tests.</t>
  </si>
  <si>
    <t>PR-06</t>
  </si>
  <si>
    <t>D093-012</t>
  </si>
  <si>
    <t>The first-generation DK/NA heightened crack-control check is separately selectable and its permitted crack width is mandatory.</t>
  </si>
  <si>
    <t>DS/EN 1992-1-1 DK NA:2024 Formula 7.100 NA uses the specified crack width as an equation operand. It is not silently enabled and is never presented as a 2023 Danish rule. The displayed formula must be independently transcribed and visually checked against the licensed standard; OCR is not an implementation authority.</t>
  </si>
  <si>
    <t>Dual visual transcription, independent numerical benchmarks, applicability validation and complete calculation evidence.</t>
  </si>
  <si>
    <t>D093-013</t>
  </si>
  <si>
    <t>Confinement is deferred beyond 0.93.</t>
  </si>
  <si>
    <t>No DS/EN 1992-1-1:2023 confinement input, solver equation or enhancement, result claim, or placeholder selector is added in this programme. Relevant manual and report scopes explicitly disclose that confinement enhancement is not included or assessed.</t>
  </si>
  <si>
    <t>Absence assertions, limitation-disclosure tests and scope review.</t>
  </si>
  <si>
    <t>Deferred</t>
  </si>
  <si>
    <t>D093-014</t>
  </si>
  <si>
    <t>Remove bridge-specific checks that require semantic component mapping.</t>
  </si>
  <si>
    <t>The current brittle Method B region table, box-wall table and web/flange table all require region, wall, web or flange meaning that Sector cannot infer honestly. Their UI, adapter, persistence and publication surfaces are removed together.</t>
  </si>
  <si>
    <t>Absence, schema and stale-result tests.</t>
  </si>
  <si>
    <t>PR-02</t>
  </si>
  <si>
    <t>D093-015</t>
  </si>
  <si>
    <t>Keep current- and next-generation concrete design options only where Sector implements a verified calculation.</t>
  </si>
  <si>
    <t>First-generation bridge references remain DS/EN 1992-2:2005 + AC:2008 only beside retained calculations that use them. DK NA:2015 remains project context in v0.93 and is not an exposed option unless a retained solver declares an exact verified NA-specific capability. The second generation is DS/EN 1992-1-1:2023, whose normative Annex K defines bridge scope; that fact is standards context, not a Sector implementation claim. No fictitious EN 1992-2:2023 option is created. The 2023 choice is labelled a published project-adoption option with no Danish NA applied.</t>
  </si>
  <si>
    <t>Registry, citation, selector, report and absence tests.</t>
  </si>
  <si>
    <t>PR-02 and PR-06</t>
  </si>
  <si>
    <t>D093-016</t>
  </si>
  <si>
    <t>Do not add an inert umbrella compliance selector.</t>
  </si>
  <si>
    <t>A design option is visible only beside a calculation whose edition-specific equation, defaults, NDP treatment and citation are implemented. Generic section results are not relabelled as complete bridge checks.</t>
  </si>
  <si>
    <t>Registry-to-solver coverage and UI absence tests.</t>
  </si>
  <si>
    <t>D093-017</t>
  </si>
  <si>
    <t>Every complete calculation is presented as a student-readable worked example, including numerical substitution for every meaningful live step.</t>
  </si>
  <si>
    <t>Crack spacing was one example, not the boundary. Across every calculation family, reports declare the purpose, given values, assumptions, sign convention, derived inputs, equation and source, unit-bearing substitution, branch/cap/iteration decision, interim result, criterion and final interpretation. Reports retain typed operands and branch evidence from the solver and never reconstruct evidence from rounded display values. Pure theory relations may remain symbolic. Iterative algorithms publish their governing equation, search/convergence controls, accepted state and residual rather than an unreadable dump of every trial.</t>
  </si>
  <si>
    <t>Programme-wide fail-closed calculation-chain inventory, independent numerical traces and pedagogical review by a reader not assumed to know the formulas.</t>
  </si>
  <si>
    <t>PR-03 and PR-07B</t>
  </si>
  <si>
    <t>D093-018</t>
  </si>
  <si>
    <t>Formula typography is checked explicitly in both manuals and reports.</t>
  </si>
  <si>
    <t>Formulas use a shared Eurocode-style publication grammar: true fractions, radicals, super/subscripts, italic variables, upright operators and descriptive subscripts, equation identity, source, symbol definitions, numerical substitution and result.</t>
  </si>
  <si>
    <t>Semantic, structural PDF and raster visual gates.</t>
  </si>
  <si>
    <t>PR-03 and PR-07A</t>
  </si>
  <si>
    <t>D093-019</t>
  </si>
  <si>
    <t>Reports offer Brief, Standard and Audit profiles.</t>
  </si>
  <si>
    <t>Standard is the default. Brief supports rapid review; Standard supports ordinary design review; Audit adds complete calculation evidence and provenance. A profile changes depth, not the engineering result.</t>
  </si>
  <si>
    <t>Profile policy tests, section inventories and rendered examples.</t>
  </si>
  <si>
    <t>PR-07B</t>
  </si>
  <si>
    <t>D093-020</t>
  </si>
  <si>
    <t>Redesign the manual and reports for progressive disclosure and visual scanability.</t>
  </si>
  <si>
    <t>The manual separates quick start, workflows, input reference, theory, worked examples, limitations and troubleshooting. Reports lead with project basis, warnings and result summaries before detailed evidence. Dense text is split into short paragraphs, lists, callouts, tables and figures with controlled spacing.</t>
  </si>
  <si>
    <t>Content inventory, bookmarks/TOC, typography metrics and human visual review.</t>
  </si>
  <si>
    <t>D093-021</t>
  </si>
  <si>
    <t>Preserve exact numerical and source provenance across all report profiles.</t>
  </si>
  <si>
    <t>Brief may omit derivation detail but cannot alter a value, status, method or warning. Standard and Audit expose increasing evidence from the same immutable result model.</t>
  </si>
  <si>
    <t>Cross-profile equality and provenance tests.</t>
  </si>
  <si>
    <t>D093-022</t>
  </si>
  <si>
    <t>A double-clicked BAT in the extracted official source ZIP builds a complete portable Windows distribution without a separate PowerShell command.</t>
  </si>
  <si>
    <t>The BAT invokes required internal PowerShell itself, authenticates the embedded source manifest when .git is absent, builds in isolation and leaves an obvious output folder plus ZIP. It never requires administrator privileges.</t>
  </si>
  <si>
    <t>Extracted-ZIP end-to-end build, path-with-spaces test, package verification and controlled startup smoke.</t>
  </si>
  <si>
    <t>PR-08</t>
  </si>
  <si>
    <t>D093-023</t>
  </si>
  <si>
    <t>The distributable Windows application is an unsigned portable application, not a signed Windows production release.</t>
  </si>
  <si>
    <t>The deliverable contains Sector.exe and every required companion file. Its name, README and receipt disclose that it is unsigned and may trigger SmartScreen or corporate policy. It claims no signature, publisher reputation, installer registration or administrator approval. Distribution remains subject to the proprietary licence.</t>
  </si>
  <si>
    <t>Static identity/signature checks, warning text and release-asset inspection.</t>
  </si>
  <si>
    <t>PR-08 and PR-09</t>
  </si>
  <si>
    <t>D093-024</t>
  </si>
  <si>
    <t>Distribute the complete ONEDIR package, not Sector.exe alone.</t>
  </si>
  <si>
    <t>The executable depends on its _internal payload and notices. The user-facing artifact is a portable folder and ZIP; the executable remains conveniently visible at the folder root. One-file packaging is out of scope unless separately proven safe and reproducible.</t>
  </si>
  <si>
    <t>Inventory, clean-machine extraction and startup tests.</t>
  </si>
  <si>
    <t>D093-025</t>
  </si>
  <si>
    <t>Keep unsigned reproducibility evidence distinct from the portable deliverable.</t>
  </si>
  <si>
    <t>Existing two-build QA evidence remains an internal gate. A separately named and verified portable archive is the user deliverable. The protected signing workflow remains dormant and has no unsigned fallback.</t>
  </si>
  <si>
    <t>Workflow topology and artifact-name tests.</t>
  </si>
  <si>
    <t>D093-026</t>
  </si>
  <si>
    <t>The decision register is also delivered as docs/sector_v093_decision_register.xlsx.</t>
  </si>
  <si>
    <t>The workbook mirrors these IDs, includes programme ownership and acceptance columns, uses filters/frozen headers, records the programme baseline and LF-normalized canonical Markdown SHA-256, and is pinned by the accepted Git revision. Environment paths, tenant labels and active OOXML parts are prohibited.</t>
  </si>
  <si>
    <t>Workbook formula/error/metadata inspection plus rendered review of every sheet.</t>
  </si>
  <si>
    <t>PR-01 follow-up and PR-09</t>
  </si>
  <si>
    <t>D093-027</t>
  </si>
  <si>
    <t>Sector never issues a global code-compliance conclusion.</t>
  </si>
  <si>
    <t>PASS/FAIL remains reserved for an implemented demand-versus-resistance equation. A user-specified output-limit comparison uses WITHIN USER-SPECIFIED LIMIT or EXCEEDS USER-SPECIFIED LIMIT and publishes the criterion source. Output-only and omitted-criterion states use CALCULATED, NOT ASSESSED, NOT APPLICABLE or NOT REQUESTED as appropriate.</t>
  </si>
  <si>
    <t>Status-taxonomy and absence tests across UI/report/manual.</t>
  </si>
  <si>
    <t>PR-06, PR-07B and PR-09</t>
  </si>
  <si>
    <t>Pull-request programme</t>
  </si>
  <si>
    <t>Statuses change only after objective evidence exists; dependencies are execution gates.</t>
  </si>
  <si>
    <t>Order</t>
  </si>
  <si>
    <t>Slice</t>
  </si>
  <si>
    <t>Depends on</t>
  </si>
  <si>
    <t>PR-01 - Programme, decisions and acceptance freeze</t>
  </si>
  <si>
    <t>v0.92 baseline</t>
  </si>
  <si>
    <t>Merged</t>
  </si>
  <si>
    <t>PR-02 - Bridge scope reset, schema 24 and design-standard registry</t>
  </si>
  <si>
    <t>PR-01</t>
  </si>
  <si>
    <t>PR-03 - Textbook worked calculations and complete substitutions</t>
  </si>
  <si>
    <t>PR-04 - Input correctness, reusable IDs and mathematical table guides</t>
  </si>
  <si>
    <t>PR-05 - Stateful input tabs and explicit modelled direction</t>
  </si>
  <si>
    <t>PR-06 - Optional crack criterion and DK/NA heightened check</t>
  </si>
  <si>
    <t>PR-03, PR-04, PR-05</t>
  </si>
  <si>
    <t>PR-07A - Eurocode-style shared equation renderer</t>
  </si>
  <si>
    <t>PR-03</t>
  </si>
  <si>
    <t>PR-07B - Manual/report information architecture and profiles</t>
  </si>
  <si>
    <t>PR-06, PR-07A</t>
  </si>
  <si>
    <t>PR-08 - Double-click portable Windows packaging</t>
  </si>
  <si>
    <t>PR-09 - Full qualification and Sector 0.93 release</t>
  </si>
  <si>
    <t>PR-01 through PR-08</t>
  </si>
  <si>
    <t>Standards status and implementation boundary</t>
  </si>
  <si>
    <t>Licensed standards remain the equation and clause authority; this sheet records routing and disclosure decisions.</t>
  </si>
  <si>
    <t>Family</t>
  </si>
  <si>
    <t>Sector label and scope</t>
  </si>
  <si>
    <t>Status disclosure</t>
  </si>
  <si>
    <t>v0.93 boundary</t>
  </si>
  <si>
    <t>First-generation general concrete</t>
  </si>
  <si>
    <t>DS/EN 1992-1-1:2004 family with amendments/corrigenda; DK NA:2024 when selected</t>
  </si>
  <si>
    <t>Current Danish BR18-listed family, subject to project applicability</t>
  </si>
  <si>
    <t>Retain supported section calculations and add the bounded crack features in D093-011/D093-012.</t>
  </si>
  <si>
    <t>First-generation concrete bridges</t>
  </si>
  <si>
    <t>DS/EN 1992-2:2005 + AC:2008; DK NA:2015 is project context only in v0.93</t>
  </si>
  <si>
    <t>Current local bridge family, subject to project and owner requirements</t>
  </si>
  <si>
    <t>Remove component-mapped checks. The retained corrected concrete-fatigue Formula 6.106 route is base + AC only. Do not expose a DK NA selector without an exact capability. No complete bridge-design claim.</t>
  </si>
  <si>
    <t>Second-generation concrete and bridges</t>
  </si>
  <si>
    <t>DS/EN 1992-1-1:2023, including normative Annex K as standard scope, not a Sector implementation claim</t>
  </si>
  <si>
    <t>Published reference option; project adoption required; no Danish NA applied</t>
  </si>
  <si>
    <t>Retain or add only verified non-component equations. Disclose each Eurocode recommended value used for a Nationally Determined Parameter and that no Danish national choice is applied. No confinement enhancement in 0.93; disclose that limitation.</t>
  </si>
  <si>
    <t>DK heightened crack control</t>
  </si>
  <si>
    <t>DS/EN 1992-1-1 DK NA:2024 supplementary provision to 7.3.2(1)P, Formula 7.100 NA</t>
  </si>
  <si>
    <t>First-generation Danish provision only</t>
  </si>
  <si>
    <t>User selects applicability; permitted crack width is mandatory; publish complete calculation evidence.</t>
  </si>
  <si>
    <t>Manual and report visual evidence</t>
  </si>
  <si>
    <t>Concrete v0.92 findings are paired with measurable v0.93 treatments; crack spacing is one example, not the scope boundary.</t>
  </si>
  <si>
    <t>Surface</t>
  </si>
  <si>
    <t>Current page</t>
  </si>
  <si>
    <t>Observed issue</t>
  </si>
  <si>
    <t>Required treatment</t>
  </si>
  <si>
    <t>Manual</t>
  </si>
  <si>
    <t>The visible contents lists only four Parts although the PDF outline contains 82 entries.</t>
  </si>
  <si>
    <t>Show chapters and selected task/method subsections in a clickable visible TOC that agrees with the bookmark tree.</t>
  </si>
  <si>
    <t>Scope and limitation material is valuable but fills a dense opening page.</t>
  </si>
  <si>
    <t>Replace the long capability sequence with a compact workflow/capability matrix while retaining the responsibility boundary.</t>
  </si>
  <si>
    <t>Modelled reinforcement direction is buried inside continuous detailing prose.</t>
  </si>
  <si>
    <t>Give it a named terminology panel and diagram linked from UI and result explanations.</t>
  </si>
  <si>
    <t>19-40</t>
  </si>
  <si>
    <t>Nearly every equation repeats a full symbol table, so new information and repeated notation have equal visual weight.</t>
  </si>
  <si>
    <t>Establish chapter notation once and define only new/ambiguous symbols locally.</t>
  </si>
  <si>
    <t>29-31</t>
  </si>
  <si>
    <t>Crack equations use slash division and linear grouping.</t>
  </si>
  <si>
    <t>Render true fractions, radicals, scalable delimiters and right-aligned publication equation numbers.</t>
  </si>
  <si>
    <t>Combined M-V-T explanation is a 29 percent ink-density mechanism wall.</t>
  </si>
  <si>
    <t>Use a load-path diagram, responsibility cards and governing-sequence table, retaining detailed prose in the method reference.</t>
  </si>
  <si>
    <t>42, 44 and 46</t>
  </si>
  <si>
    <t>Approximately 4, 8 and 6 percent ink coverage respectively because of forced breaks/poor table balance.</t>
  </si>
  <si>
    <t>Treat chapter openers intentionally and permit safe balancing/splitting of assumptions and glossary tables.</t>
  </si>
  <si>
    <t>Report</t>
  </si>
  <si>
    <t>A 40-row mixed-state overview is set at 7.2 pt.</t>
  </si>
  <si>
    <t>Separate acceptance, calculated-output and scope-state groups; place failures/warnings first and keep Standard tables at 8.5 pt or larger.</t>
  </si>
  <si>
    <t>3-4 and 27</t>
  </si>
  <si>
    <t>Internal EQ-* keys and text equations are visible to ordinary readers.</t>
  </si>
  <si>
    <t>Show user-facing publication numbers/titles; retain internal keys only as Audit metadata.</t>
  </si>
  <si>
    <t>27 and 35</t>
  </si>
  <si>
    <t>Approximately 5 and 7 percent ink coverage follows over-broad keep-together rules.</t>
  </si>
  <si>
    <t>Keep equation/substitution/result together but permit notation/prose to continue normally.</t>
  </si>
  <si>
    <t>The report honestly states that crack width was calculated without a criterion.</t>
  </si>
  <si>
    <t>Preserve the distinction using the controlled CALCULATED - ACCEPTANCE NOT ASSESSED state.</t>
  </si>
  <si>
    <t>Crack spacing and mean-strain equations omit numerical substitution.</t>
  </si>
  <si>
    <t>Publish every operand, substitution and interim result from typed solver evidence.</t>
  </si>
  <si>
    <t>49-54</t>
  </si>
  <si>
    <t>Fatigue detail is useful for audit but excessive for ordinary review.</t>
  </si>
  <si>
    <t>Brief shows governing status; Standard shows spectrum/governing element; Audit retains bins and damage chains.</t>
  </si>
  <si>
    <t>Component-mapped bridge checks remain visible.</t>
  </si>
  <si>
    <t>Remove them completely under PR-02.</t>
  </si>
  <si>
    <t>The QA appendix is a continuous bullet wall.</t>
  </si>
  <si>
    <t>Replace it with a structured basis register: standard, edition, clause, option/NDP, assumption, limitation and affected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</si>
</sst>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20"/>
      <color rgb="FFFFFFFF"/>
      <name val="Aptos Display"/>
      <family val="2"/>
    </font>
    <font>
      <i/>
      <sz val="10"/>
      <color rgb="FF17365D"/>
      <name val="Aptos"/>
      <family val="2"/>
    </font>
    <font>
      <b/>
      <sz val="10"/>
      <color rgb="FFFFFFFF"/>
      <name val="Aptos"/>
      <family val="2"/>
    </font>
    <font>
      <sz val="9"/>
      <color theme="1"/>
      <name val="Aptos"/>
      <family val="2"/>
    </font>
    <font>
      <sz val="9"/>
      <color rgb="FF1F1F1F"/>
      <name val="Aptos"/>
      <family val="2"/>
    </font>
    <font>
      <b/>
      <sz val="9"/>
      <color rgb="FF17365D"/>
      <name val="Aptos"/>
      <family val="2"/>
    </font>
    <font>
      <b/>
      <sz val="12"/>
      <color rgb="FF17365D"/>
      <name val="Aptos"/>
      <family val="2"/>
    </font>
    <font>
      <sz val="10"/>
      <color rgb="FF1F1F1F"/>
      <name val="Aptos"/>
      <family val="2"/>
    </font>
    <font>
      <b/>
      <sz val="9"/>
      <color rgb="FF1F1F1F"/>
      <name val="Aptos"/>
      <family val="2"/>
    </font>
  </fonts>
  <fills count="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1F4E78"/>
        <bgColor indexed="64"/>
      </patternFill>
    </fill>
    <fill>
      <patternFill patternType="solid">
        <fgColor rgb="FFEEF5FA"/>
        <bgColor indexed="64"/>
      </patternFill>
    </fill>
    <fill>
      <patternFill patternType="solid">
        <fgColor rgb="FFFFF2CC"/>
        <bgColor indexed="64"/>
      </patternFill>
    </fill>
    <fill>
      <patternFill patternType="solid">
        <fgColor rgb="FFE2F0D9"/>
        <bgColor indexed="6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F9000"/>
      </left>
      <right style="thin">
        <color rgb="FFBF9000"/>
      </right>
      <top style="thin">
        <color rgb="FFBF9000"/>
      </top>
      <bottom style="thin">
        <color rgb="FFBF9000"/>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3" borderId="0" xfId="0" applyFont="1" applyFill="1" applyAlignment="1">
      <alignment vertical="center" wrapText="1"/>
    </xf>
    <xf numFmtId="0" fontId="3" fillId="4" borderId="0" xfId="0" applyFont="1" applyFill="1" applyAlignment="1">
      <alignment vertical="center" wrapText="1"/>
    </xf>
    <xf numFmtId="0" fontId="5" fillId="0" borderId="0" xfId="0" applyFont="1" applyAlignment="1">
      <alignment horizontal="left" vertical="top" wrapText="1"/>
    </xf>
    <xf numFmtId="14" fontId="5" fillId="0" borderId="0" xfId="0" applyNumberFormat="1" applyFont="1" applyAlignment="1">
      <alignment horizontal="left" vertical="top" wrapText="1"/>
    </xf>
    <xf numFmtId="0" fontId="3" fillId="4" borderId="1" xfId="0" applyFont="1" applyFill="1" applyBorder="1" applyAlignment="1">
      <alignment horizontal="center" vertical="center"/>
    </xf>
    <xf numFmtId="0" fontId="4" fillId="0" borderId="1" xfId="0" applyFont="1" applyBorder="1" applyAlignment="1">
      <alignment vertical="center"/>
    </xf>
    <xf numFmtId="0" fontId="7" fillId="5" borderId="1" xfId="0" applyFont="1" applyFill="1" applyBorder="1" applyAlignment="1">
      <alignment horizontal="center" vertical="center"/>
    </xf>
    <xf numFmtId="0" fontId="8" fillId="6" borderId="2" xfId="0" applyFont="1" applyFill="1" applyBorder="1" applyAlignment="1">
      <alignment vertical="center" wrapText="1"/>
    </xf>
    <xf numFmtId="0" fontId="6" fillId="5" borderId="0" xfId="0" applyFont="1" applyFill="1" applyAlignment="1">
      <alignment horizontal="center" vertical="top" wrapText="1"/>
    </xf>
    <xf numFmtId="0" fontId="9" fillId="3" borderId="0" xfId="0" applyFont="1" applyFill="1" applyAlignment="1">
      <alignment horizontal="center" vertical="top" wrapText="1"/>
    </xf>
    <xf numFmtId="0" fontId="9" fillId="7" borderId="0" xfId="0" applyFont="1" applyFill="1" applyAlignment="1">
      <alignment horizontal="center" vertical="top" wrapText="1"/>
    </xf>
    <xf numFmtId="0" fontId="9" fillId="6" borderId="0" xfId="0" applyFont="1" applyFill="1" applyAlignment="1">
      <alignment horizontal="center" vertical="top" wrapText="1"/>
    </xf>
  </cellXfs>
  <cellStyles count="1">
    <cellStyle name="Normal" xfId="0" builtinId="0"/>
  </cellStyles>
  <dxfs count="31">
    <dxf>
      <font>
        <b/>
        <i val="0"/>
        <strike val="0"/>
        <outline val="0"/>
        <shadow val="0"/>
        <u val="none"/>
        <vertAlign val="baseline"/>
        <sz val="9"/>
        <color rgb="FF17365D"/>
        <name val="Aptos"/>
        <family val="2"/>
        <scheme val="none"/>
      </font>
      <fill>
        <patternFill patternType="solid">
          <fgColor indexed="64"/>
          <bgColor rgb="FFEEF5FA"/>
        </patternFill>
      </fill>
      <alignment horizontal="center"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10"/>
        <color rgb="FFFFFFFF"/>
        <name val="Aptos"/>
        <family val="2"/>
        <scheme val="none"/>
      </font>
      <fill>
        <patternFill patternType="solid">
          <fgColor indexed="64"/>
          <bgColor rgb="FF1F4E78"/>
        </patternFill>
      </fill>
      <alignment horizontal="general" vertical="center"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10"/>
        <color rgb="FFFFFFFF"/>
        <name val="Aptos"/>
        <family val="2"/>
        <scheme val="none"/>
      </font>
      <fill>
        <patternFill patternType="solid">
          <fgColor indexed="64"/>
          <bgColor rgb="FF1F4E78"/>
        </patternFill>
      </fill>
      <alignment horizontal="general" vertical="center" textRotation="0" wrapText="1" indent="0" justifyLastLine="0" shrinkToFit="0" readingOrder="0"/>
    </dxf>
    <dxf>
      <font>
        <b/>
        <i val="0"/>
        <strike val="0"/>
        <outline val="0"/>
        <shadow val="0"/>
        <u val="none"/>
        <vertAlign val="baseline"/>
        <sz val="9"/>
        <color rgb="FF17365D"/>
        <name val="Aptos"/>
        <family val="2"/>
        <scheme val="none"/>
      </font>
      <fill>
        <patternFill patternType="solid">
          <fgColor indexed="64"/>
          <bgColor rgb="FFEEF5FA"/>
        </patternFill>
      </fill>
      <alignment horizontal="center"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10"/>
        <color rgb="FFFFFFFF"/>
        <name val="Aptos"/>
        <family val="2"/>
        <scheme val="none"/>
      </font>
      <fill>
        <patternFill patternType="solid">
          <fgColor indexed="64"/>
          <bgColor rgb="FF1F4E78"/>
        </patternFill>
      </fill>
      <alignment horizontal="general" vertical="center" textRotation="0" wrapText="1" indent="0" justifyLastLine="0" shrinkToFit="0" readingOrder="0"/>
    </dxf>
    <dxf>
      <font>
        <b/>
        <i val="0"/>
        <strike val="0"/>
        <outline val="0"/>
        <shadow val="0"/>
        <u val="none"/>
        <vertAlign val="baseline"/>
        <sz val="9"/>
        <color rgb="FF1F1F1F"/>
        <name val="Aptos"/>
        <family val="2"/>
        <scheme val="none"/>
      </font>
      <fill>
        <patternFill patternType="solid">
          <fgColor indexed="64"/>
          <bgColor rgb="FFD9EAF7"/>
        </patternFill>
      </fill>
      <alignment horizontal="center"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9"/>
        <color rgb="FF17365D"/>
        <name val="Aptos"/>
        <family val="2"/>
        <scheme val="none"/>
      </font>
      <fill>
        <patternFill patternType="solid">
          <fgColor indexed="64"/>
          <bgColor rgb="FFEEF5FA"/>
        </patternFill>
      </fill>
      <alignment horizontal="center"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10"/>
        <color rgb="FFFFFFFF"/>
        <name val="Aptos"/>
        <family val="2"/>
        <scheme val="none"/>
      </font>
      <fill>
        <patternFill patternType="solid">
          <fgColor indexed="64"/>
          <bgColor rgb="FF1F4E78"/>
        </patternFill>
      </fill>
      <alignment horizontal="general" vertical="center"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val="0"/>
        <i val="0"/>
        <strike val="0"/>
        <outline val="0"/>
        <shadow val="0"/>
        <u val="none"/>
        <vertAlign val="baseline"/>
        <sz val="9"/>
        <color rgb="FF1F1F1F"/>
        <name val="Aptos"/>
        <family val="2"/>
        <scheme val="none"/>
      </font>
      <alignment horizontal="left" vertical="top" textRotation="0" wrapText="1" indent="0" justifyLastLine="0" shrinkToFit="0" readingOrder="0"/>
    </dxf>
    <dxf>
      <font>
        <b/>
        <i val="0"/>
        <strike val="0"/>
        <outline val="0"/>
        <shadow val="0"/>
        <u val="none"/>
        <vertAlign val="baseline"/>
        <sz val="10"/>
        <color rgb="FFFFFFFF"/>
        <name val="Aptos"/>
        <family val="2"/>
        <scheme val="none"/>
      </font>
      <fill>
        <patternFill patternType="solid">
          <fgColor indexed="64"/>
          <bgColor rgb="FF1F4E78"/>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9C12E5-B7E8-494E-9A65-2075D2306A99}" name="RegisterMetadata" displayName="RegisterMetadata" ref="A4:B12" totalsRowShown="0" headerRowDxfId="30" dataDxfId="27">
  <autoFilter ref="A4:B12" xr:uid="{769C12E5-B7E8-494E-9A65-2075D2306A99}"/>
  <tableColumns count="2">
    <tableColumn id="1" xr3:uid="{CB04BFC9-590B-412D-891A-28212CCECFAC}" name="Record" dataDxfId="29"/>
    <tableColumn id="2" xr3:uid="{3A124376-BFD6-4AD0-B4B3-86EB9B7A249B}" name="Value"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2E0365-B590-4F7E-9991-BBD617DEF910}" name="V093Decisions" displayName="V093Decisions" ref="A4:G31" totalsRowShown="0" headerRowDxfId="26" dataDxfId="23">
  <autoFilter ref="A4:G31" xr:uid="{402E0365-B590-4F7E-9991-BBD617DEF910}"/>
  <tableColumns count="7">
    <tableColumn id="1" xr3:uid="{D59960F1-7608-46FF-B737-79F5D776CA9F}" name="Decision ID" dataDxfId="21"/>
    <tableColumn id="2" xr3:uid="{87BBD414-0EEF-4375-B8FC-BF97647B665F}" name="Frozen decision" dataDxfId="22"/>
    <tableColumn id="3" xr3:uid="{CD7CE841-5F85-44E8-8A3F-3F369712DFAB}" name="Reason and boundary" dataDxfId="25"/>
    <tableColumn id="4" xr3:uid="{81581489-7399-49A7-83A3-F6E774D7845C}" name="Acceptance evidence" dataDxfId="24"/>
    <tableColumn id="5" xr3:uid="{EBDD7CE3-8037-43F2-ABB3-56E5A2DEDF85}" name="Owning PR" dataDxfId="20"/>
    <tableColumn id="6" xr3:uid="{2E01A201-5471-4C0F-AA45-C03D4B3FCD9D}" name="Status" dataDxfId="18"/>
    <tableColumn id="7" xr3:uid="{715F2481-7E51-4D11-8AEE-6CC4F9A73390}" name="Disposition"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73181-F218-433C-B8DD-86C11FE1B51E}" name="V093Programme" displayName="V093Programme" ref="A4:D14" totalsRowShown="0" headerRowDxfId="17" dataDxfId="14">
  <autoFilter ref="A4:D14" xr:uid="{B6273181-F218-433C-B8DD-86C11FE1B51E}"/>
  <tableColumns count="4">
    <tableColumn id="1" xr3:uid="{1ED5DCDE-C57F-4121-9C0C-E4A7A9F013E6}" name="Order" dataDxfId="12"/>
    <tableColumn id="2" xr3:uid="{FB618EDD-CD21-4F0B-8964-DFE6859A1245}" name="Slice" dataDxfId="13"/>
    <tableColumn id="3" xr3:uid="{E4586875-FB6E-4A98-90C5-92EAD805D0CE}" name="Depends on" dataDxfId="16"/>
    <tableColumn id="4" xr3:uid="{F25D5CFA-F66D-4FEC-8E7E-D71374D94891}" name="Status"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7E9B64-D2AD-4F5A-A6C5-AA67A987E4EB}" name="V093Standards" displayName="V093Standards" ref="A4:D8" totalsRowShown="0" headerRowDxfId="11" dataDxfId="6">
  <autoFilter ref="A4:D8" xr:uid="{D77E9B64-D2AD-4F5A-A6C5-AA67A987E4EB}"/>
  <tableColumns count="4">
    <tableColumn id="1" xr3:uid="{DD590290-945F-47EF-A8CC-FC72FAFE0FC4}" name="Family" dataDxfId="10"/>
    <tableColumn id="2" xr3:uid="{7AB975C2-2BD2-4A0F-B11E-253971AA1F4A}" name="Sector label and scope" dataDxfId="9"/>
    <tableColumn id="3" xr3:uid="{CF9D2B9D-7309-49D1-BA53-5D731FE610D2}" name="Status disclosure" dataDxfId="8"/>
    <tableColumn id="4" xr3:uid="{1FE9A358-D0C3-401A-A15D-04883B871D53}" name="v0.93 boundary"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704E92-AFD5-4C62-80C4-0F99FAB3AD58}" name="V093PublicationQA" displayName="V093PublicationQA" ref="A4:D19" totalsRowShown="0" headerRowDxfId="5" dataDxfId="2">
  <autoFilter ref="A4:D19" xr:uid="{BA704E92-AFD5-4C62-80C4-0F99FAB3AD58}"/>
  <tableColumns count="4">
    <tableColumn id="1" xr3:uid="{65CFBB5D-50B6-4CBD-A7A1-9495878DD0A6}" name="Surface" dataDxfId="0"/>
    <tableColumn id="2" xr3:uid="{C9B50A61-EE53-46D3-9691-8640E129DF65}" name="Current page" dataDxfId="1"/>
    <tableColumn id="3" xr3:uid="{14481BEE-FBDC-48E9-8FF2-AC6FD00BB891}" name="Observed issue" dataDxfId="4"/>
    <tableColumn id="4" xr3:uid="{8C00059B-57A7-43C7-ADA2-135F5A15AA4C}" name="Required treatment"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 /></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46DE-DEBD-4D8F-AB4E-04166B74DE08}">
  <sheetPr>
    <pageSetUpPr fitToPage="1"/>
  </sheetPr>
  <dimension ref="A1:G18"/>
  <sheetViews>
    <sheetView showGridLines="0" tabSelected="1" workbookViewId="0">
      <pane ySplit="4" topLeftCell="A5" activePane="bottomLeft" state="frozenSplit"/>
      <selection pane="bottomLeft" sqref="A1:G1"/>
    </sheetView>
  </sheetViews>
  <sheetFormatPr defaultRowHeight="15" x14ac:dyDescent="0.25"/>
  <cols>
    <col min="1" max="1" width="27.7109375" customWidth="1"/>
    <col min="2" max="2" width="76.7109375" customWidth="1"/>
    <col min="3" max="3" width="3.7109375" customWidth="1"/>
    <col min="4" max="4" width="28.7109375" customWidth="1"/>
    <col min="5" max="5" width="14.7109375" customWidth="1"/>
    <col min="6" max="7" width="3.7109375" customWidth="1"/>
  </cols>
  <sheetData>
    <row r="1" spans="1:7" ht="33.950000000000003" customHeight="1" x14ac:dyDescent="0.25">
      <c r="A1" s="1" t="s">
        <v>0</v>
      </c>
      <c r="B1" s="1"/>
      <c r="C1" s="1"/>
      <c r="D1" s="1"/>
      <c r="E1" s="1"/>
      <c r="F1" s="1"/>
      <c r="G1" s="1"/>
    </row>
    <row r="2" spans="1:7" ht="30" customHeight="1" x14ac:dyDescent="0.25">
      <c r="A2" s="2" t="s">
        <v>1</v>
      </c>
      <c r="B2" s="2"/>
      <c r="C2" s="2"/>
      <c r="D2" s="2"/>
      <c r="E2" s="2"/>
      <c r="F2" s="2"/>
      <c r="G2" s="2"/>
    </row>
    <row r="4" spans="1:7" ht="32.1" customHeight="1" x14ac:dyDescent="0.25">
      <c r="A4" s="3" t="s">
        <v>2</v>
      </c>
      <c r="B4" s="3" t="s">
        <v>3</v>
      </c>
      <c r="D4" s="6" t="s">
        <v>19</v>
      </c>
      <c r="E4" s="6" t="s">
        <v>20</v>
      </c>
    </row>
    <row r="5" spans="1:7" ht="24.95" customHeight="1" x14ac:dyDescent="0.25">
      <c r="A5" s="4" t="s">
        <v>4</v>
      </c>
      <c r="B5" s="4" t="s">
        <v>5</v>
      </c>
      <c r="D5" s="7" t="s">
        <v>21</v>
      </c>
      <c r="E5" s="8">
        <f>COUNTA(Decisions!A5:A31)</f>
        <v>27</v>
      </c>
    </row>
    <row r="6" spans="1:7" ht="24.95" customHeight="1" x14ac:dyDescent="0.25">
      <c r="A6" s="4" t="s">
        <v>6</v>
      </c>
      <c r="B6" s="4" t="s">
        <v>7</v>
      </c>
      <c r="D6" s="7" t="s">
        <v>22</v>
      </c>
      <c r="E6" s="8">
        <f>COUNTIF(Decisions!G5:G31,"Implement")</f>
        <v>26</v>
      </c>
    </row>
    <row r="7" spans="1:7" ht="24.95" customHeight="1" x14ac:dyDescent="0.25">
      <c r="A7" s="4" t="s">
        <v>8</v>
      </c>
      <c r="B7" s="4" t="s">
        <v>9</v>
      </c>
      <c r="D7" s="7" t="s">
        <v>23</v>
      </c>
      <c r="E7" s="8">
        <f>COUNTIF(Decisions!G5:G31,"Deferred")</f>
        <v>1</v>
      </c>
    </row>
    <row r="8" spans="1:7" ht="24.95" customHeight="1" x14ac:dyDescent="0.25">
      <c r="A8" s="4" t="s">
        <v>10</v>
      </c>
      <c r="B8" s="4" t="s">
        <v>11</v>
      </c>
      <c r="D8" s="7" t="s">
        <v>24</v>
      </c>
      <c r="E8" s="8">
        <f>COUNTIF('PR Programme'!D5:D14,"Planned")</f>
        <v>0</v>
      </c>
    </row>
    <row r="9" spans="1:7" ht="24.95" customHeight="1" x14ac:dyDescent="0.25">
      <c r="A9" s="4" t="s">
        <v>12</v>
      </c>
      <c r="B9" s="5">
        <v>46242</v>
      </c>
      <c r="D9" s="7" t="s">
        <v>25</v>
      </c>
      <c r="E9" s="8">
        <f>COUNTIF('PR Programme'!D5:D14,"In progress")</f>
        <v>0</v>
      </c>
    </row>
    <row r="10" spans="1:7" ht="24.95" customHeight="1" x14ac:dyDescent="0.25">
      <c r="A10" s="4" t="s">
        <v>13</v>
      </c>
      <c r="B10" s="4" t="s">
        <v>14</v>
      </c>
    </row>
    <row r="11" spans="1:7" ht="24.95" customHeight="1" x14ac:dyDescent="0.25">
      <c r="A11" s="4" t="s">
        <v>15</v>
      </c>
      <c r="B11" s="4" t="s">
        <v>16</v>
      </c>
    </row>
    <row r="12" spans="1:7" ht="24.95" customHeight="1" x14ac:dyDescent="0.25">
      <c r="A12" s="4" t="s">
        <v>17</v>
      </c>
      <c r="B12" s="4" t="s">
        <v>18</v>
      </c>
    </row>
    <row r="15" spans="1:7" x14ac:dyDescent="0.25">
      <c r="A15" s="9" t="s">
        <v>26</v>
      </c>
      <c r="B15" s="9"/>
      <c r="C15" s="9"/>
      <c r="D15" s="9"/>
      <c r="E15" s="9"/>
      <c r="F15" s="9"/>
      <c r="G15" s="9"/>
    </row>
    <row r="16" spans="1:7" x14ac:dyDescent="0.25">
      <c r="A16" s="9"/>
      <c r="B16" s="9"/>
      <c r="C16" s="9"/>
      <c r="D16" s="9"/>
      <c r="E16" s="9"/>
      <c r="F16" s="9"/>
      <c r="G16" s="9"/>
    </row>
    <row r="17" spans="1:7" x14ac:dyDescent="0.25">
      <c r="A17" s="9"/>
      <c r="B17" s="9"/>
      <c r="C17" s="9"/>
      <c r="D17" s="9"/>
      <c r="E17" s="9"/>
      <c r="F17" s="9"/>
      <c r="G17" s="9"/>
    </row>
    <row r="18" spans="1:7" x14ac:dyDescent="0.25">
      <c r="A18" s="9"/>
      <c r="B18" s="9"/>
      <c r="C18" s="9"/>
      <c r="D18" s="9"/>
      <c r="E18" s="9"/>
      <c r="F18" s="9"/>
      <c r="G18" s="9"/>
    </row>
  </sheetData>
  <mergeCells count="3">
    <mergeCell ref="A1:G1"/>
    <mergeCell ref="A2:G2"/>
    <mergeCell ref="A15:G18"/>
  </mergeCells>
  <pageMargins left="0.3" right="0.3" top="0.44999999999999996" bottom="0.44999999999999996" header="0.15" footer="0.2"/>
  <pageSetup paperSize="9" scale="88" fitToHeight="0" orientation="landscape"/>
  <headerFooter>
    <oddHeader>&amp;C&amp;BRead Me</oddHeader>
    <oddFooter>&amp;LSector v0.93 decision register&amp;RPage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BB2E-AB1F-41AA-B21A-EFD55A060FB1}">
  <sheetPr>
    <pageSetUpPr fitToPage="1"/>
  </sheetPr>
  <dimension ref="A1:G31"/>
  <sheetViews>
    <sheetView showGridLines="0" workbookViewId="0">
      <pane ySplit="4" topLeftCell="A5" activePane="bottomLeft" state="frozenSplit"/>
      <selection pane="bottomLeft" sqref="A1:G1"/>
    </sheetView>
  </sheetViews>
  <sheetFormatPr defaultRowHeight="15" x14ac:dyDescent="0.25"/>
  <cols>
    <col min="1" max="1" width="15.7109375" customWidth="1"/>
    <col min="2" max="2" width="48.7109375" customWidth="1"/>
    <col min="3" max="3" width="66.7109375" customWidth="1"/>
    <col min="4" max="4" width="48.7109375" customWidth="1"/>
    <col min="5" max="5" width="18.7109375" customWidth="1"/>
    <col min="6" max="7" width="14.7109375" customWidth="1"/>
  </cols>
  <sheetData>
    <row r="1" spans="1:7" ht="33.950000000000003" customHeight="1" x14ac:dyDescent="0.25">
      <c r="A1" s="1" t="s">
        <v>27</v>
      </c>
      <c r="B1" s="1"/>
      <c r="C1" s="1"/>
      <c r="D1" s="1"/>
      <c r="E1" s="1"/>
      <c r="F1" s="1"/>
      <c r="G1" s="1"/>
    </row>
    <row r="2" spans="1:7" ht="30" customHeight="1" x14ac:dyDescent="0.25">
      <c r="A2" s="2" t="s">
        <v>28</v>
      </c>
      <c r="B2" s="2"/>
      <c r="C2" s="2"/>
      <c r="D2" s="2"/>
      <c r="E2" s="2"/>
      <c r="F2" s="2"/>
      <c r="G2" s="2"/>
    </row>
    <row r="4" spans="1:7" ht="32.1" customHeight="1" x14ac:dyDescent="0.25">
      <c r="A4" s="3" t="s">
        <v>29</v>
      </c>
      <c r="B4" s="3" t="s">
        <v>30</v>
      </c>
      <c r="C4" s="3" t="s">
        <v>31</v>
      </c>
      <c r="D4" s="3" t="s">
        <v>32</v>
      </c>
      <c r="E4" s="3" t="s">
        <v>33</v>
      </c>
      <c r="F4" s="3" t="s">
        <v>34</v>
      </c>
      <c r="G4" s="3" t="s">
        <v>35</v>
      </c>
    </row>
    <row r="5" spans="1:7" ht="54" customHeight="1" x14ac:dyDescent="0.25">
      <c r="A5" s="10" t="s">
        <v>36</v>
      </c>
      <c r="B5" s="4" t="s">
        <v>37</v>
      </c>
      <c r="C5" s="4" t="s">
        <v>38</v>
      </c>
      <c r="D5" s="4" t="s">
        <v>39</v>
      </c>
      <c r="E5" s="4" t="s">
        <v>40</v>
      </c>
      <c r="F5" s="11" t="s">
        <v>41</v>
      </c>
      <c r="G5" s="12" t="s">
        <v>42</v>
      </c>
    </row>
    <row r="6" spans="1:7" ht="54" customHeight="1" x14ac:dyDescent="0.25">
      <c r="A6" s="10" t="s">
        <v>43</v>
      </c>
      <c r="B6" s="4" t="s">
        <v>44</v>
      </c>
      <c r="C6" s="4" t="s">
        <v>45</v>
      </c>
      <c r="D6" s="4" t="s">
        <v>46</v>
      </c>
      <c r="E6" s="4" t="s">
        <v>47</v>
      </c>
      <c r="F6" s="11" t="s">
        <v>41</v>
      </c>
      <c r="G6" s="12" t="s">
        <v>42</v>
      </c>
    </row>
    <row r="7" spans="1:7" ht="54" customHeight="1" x14ac:dyDescent="0.25">
      <c r="A7" s="10" t="s">
        <v>48</v>
      </c>
      <c r="B7" s="4" t="s">
        <v>49</v>
      </c>
      <c r="C7" s="4" t="s">
        <v>50</v>
      </c>
      <c r="D7" s="4" t="s">
        <v>51</v>
      </c>
      <c r="E7" s="4" t="s">
        <v>52</v>
      </c>
      <c r="F7" s="11" t="s">
        <v>41</v>
      </c>
      <c r="G7" s="12" t="s">
        <v>42</v>
      </c>
    </row>
    <row r="8" spans="1:7" ht="54" customHeight="1" x14ac:dyDescent="0.25">
      <c r="A8" s="10" t="s">
        <v>53</v>
      </c>
      <c r="B8" s="4" t="s">
        <v>54</v>
      </c>
      <c r="C8" s="4" t="s">
        <v>55</v>
      </c>
      <c r="D8" s="4" t="s">
        <v>56</v>
      </c>
      <c r="E8" s="4" t="s">
        <v>57</v>
      </c>
      <c r="F8" s="11" t="s">
        <v>41</v>
      </c>
      <c r="G8" s="12" t="s">
        <v>42</v>
      </c>
    </row>
    <row r="9" spans="1:7" ht="54" customHeight="1" x14ac:dyDescent="0.25">
      <c r="A9" s="10" t="s">
        <v>58</v>
      </c>
      <c r="B9" s="4" t="s">
        <v>59</v>
      </c>
      <c r="C9" s="4" t="s">
        <v>60</v>
      </c>
      <c r="D9" s="4" t="s">
        <v>61</v>
      </c>
      <c r="E9" s="4" t="s">
        <v>57</v>
      </c>
      <c r="F9" s="11" t="s">
        <v>41</v>
      </c>
      <c r="G9" s="12" t="s">
        <v>42</v>
      </c>
    </row>
    <row r="10" spans="1:7" ht="54" customHeight="1" x14ac:dyDescent="0.25">
      <c r="A10" s="10" t="s">
        <v>62</v>
      </c>
      <c r="B10" s="4" t="s">
        <v>63</v>
      </c>
      <c r="C10" s="4" t="s">
        <v>64</v>
      </c>
      <c r="D10" s="4" t="s">
        <v>65</v>
      </c>
      <c r="E10" s="4" t="s">
        <v>57</v>
      </c>
      <c r="F10" s="11" t="s">
        <v>41</v>
      </c>
      <c r="G10" s="12" t="s">
        <v>42</v>
      </c>
    </row>
    <row r="11" spans="1:7" ht="54" customHeight="1" x14ac:dyDescent="0.25">
      <c r="A11" s="10" t="s">
        <v>66</v>
      </c>
      <c r="B11" s="4" t="s">
        <v>67</v>
      </c>
      <c r="C11" s="4" t="s">
        <v>68</v>
      </c>
      <c r="D11" s="4" t="s">
        <v>69</v>
      </c>
      <c r="E11" s="4" t="s">
        <v>70</v>
      </c>
      <c r="F11" s="11" t="s">
        <v>41</v>
      </c>
      <c r="G11" s="12" t="s">
        <v>42</v>
      </c>
    </row>
    <row r="12" spans="1:7" ht="54" customHeight="1" x14ac:dyDescent="0.25">
      <c r="A12" s="10" t="s">
        <v>71</v>
      </c>
      <c r="B12" s="4" t="s">
        <v>72</v>
      </c>
      <c r="C12" s="4" t="s">
        <v>73</v>
      </c>
      <c r="D12" s="4" t="s">
        <v>74</v>
      </c>
      <c r="E12" s="4" t="s">
        <v>57</v>
      </c>
      <c r="F12" s="11" t="s">
        <v>41</v>
      </c>
      <c r="G12" s="12" t="s">
        <v>42</v>
      </c>
    </row>
    <row r="13" spans="1:7" ht="54" customHeight="1" x14ac:dyDescent="0.25">
      <c r="A13" s="10" t="s">
        <v>75</v>
      </c>
      <c r="B13" s="4" t="s">
        <v>76</v>
      </c>
      <c r="C13" s="4" t="s">
        <v>77</v>
      </c>
      <c r="D13" s="4" t="s">
        <v>78</v>
      </c>
      <c r="E13" s="4" t="s">
        <v>79</v>
      </c>
      <c r="F13" s="11" t="s">
        <v>41</v>
      </c>
      <c r="G13" s="12" t="s">
        <v>42</v>
      </c>
    </row>
    <row r="14" spans="1:7" ht="54" customHeight="1" x14ac:dyDescent="0.25">
      <c r="A14" s="10" t="s">
        <v>80</v>
      </c>
      <c r="B14" s="4" t="s">
        <v>81</v>
      </c>
      <c r="C14" s="4" t="s">
        <v>82</v>
      </c>
      <c r="D14" s="4" t="s">
        <v>83</v>
      </c>
      <c r="E14" s="4" t="s">
        <v>79</v>
      </c>
      <c r="F14" s="11" t="s">
        <v>41</v>
      </c>
      <c r="G14" s="12" t="s">
        <v>42</v>
      </c>
    </row>
    <row r="15" spans="1:7" ht="72" x14ac:dyDescent="0.25">
      <c r="A15" s="10" t="s">
        <v>84</v>
      </c>
      <c r="B15" s="4" t="s">
        <v>85</v>
      </c>
      <c r="C15" s="4" t="s">
        <v>86</v>
      </c>
      <c r="D15" s="4" t="s">
        <v>87</v>
      </c>
      <c r="E15" s="4" t="s">
        <v>88</v>
      </c>
      <c r="F15" s="11" t="s">
        <v>41</v>
      </c>
      <c r="G15" s="12" t="s">
        <v>42</v>
      </c>
    </row>
    <row r="16" spans="1:7" ht="54" customHeight="1" x14ac:dyDescent="0.25">
      <c r="A16" s="10" t="s">
        <v>89</v>
      </c>
      <c r="B16" s="4" t="s">
        <v>90</v>
      </c>
      <c r="C16" s="4" t="s">
        <v>91</v>
      </c>
      <c r="D16" s="4" t="s">
        <v>92</v>
      </c>
      <c r="E16" s="4" t="s">
        <v>88</v>
      </c>
      <c r="F16" s="11" t="s">
        <v>41</v>
      </c>
      <c r="G16" s="12" t="s">
        <v>42</v>
      </c>
    </row>
    <row r="17" spans="1:7" ht="54" customHeight="1" x14ac:dyDescent="0.25">
      <c r="A17" s="10" t="s">
        <v>93</v>
      </c>
      <c r="B17" s="4" t="s">
        <v>94</v>
      </c>
      <c r="C17" s="4" t="s">
        <v>95</v>
      </c>
      <c r="D17" s="4" t="s">
        <v>96</v>
      </c>
      <c r="E17" s="4" t="s">
        <v>47</v>
      </c>
      <c r="F17" s="11" t="s">
        <v>41</v>
      </c>
      <c r="G17" s="13" t="s">
        <v>97</v>
      </c>
    </row>
    <row r="18" spans="1:7" ht="54" customHeight="1" x14ac:dyDescent="0.25">
      <c r="A18" s="10" t="s">
        <v>98</v>
      </c>
      <c r="B18" s="4" t="s">
        <v>99</v>
      </c>
      <c r="C18" s="4" t="s">
        <v>100</v>
      </c>
      <c r="D18" s="4" t="s">
        <v>101</v>
      </c>
      <c r="E18" s="4" t="s">
        <v>102</v>
      </c>
      <c r="F18" s="11" t="s">
        <v>41</v>
      </c>
      <c r="G18" s="12" t="s">
        <v>42</v>
      </c>
    </row>
    <row r="19" spans="1:7" ht="84" x14ac:dyDescent="0.25">
      <c r="A19" s="10" t="s">
        <v>103</v>
      </c>
      <c r="B19" s="4" t="s">
        <v>104</v>
      </c>
      <c r="C19" s="4" t="s">
        <v>105</v>
      </c>
      <c r="D19" s="4" t="s">
        <v>106</v>
      </c>
      <c r="E19" s="4" t="s">
        <v>107</v>
      </c>
      <c r="F19" s="11" t="s">
        <v>41</v>
      </c>
      <c r="G19" s="12" t="s">
        <v>42</v>
      </c>
    </row>
    <row r="20" spans="1:7" ht="54" customHeight="1" x14ac:dyDescent="0.25">
      <c r="A20" s="10" t="s">
        <v>108</v>
      </c>
      <c r="B20" s="4" t="s">
        <v>109</v>
      </c>
      <c r="C20" s="4" t="s">
        <v>110</v>
      </c>
      <c r="D20" s="4" t="s">
        <v>111</v>
      </c>
      <c r="E20" s="4" t="s">
        <v>107</v>
      </c>
      <c r="F20" s="11" t="s">
        <v>41</v>
      </c>
      <c r="G20" s="12" t="s">
        <v>42</v>
      </c>
    </row>
    <row r="21" spans="1:7" ht="96" x14ac:dyDescent="0.25">
      <c r="A21" s="10" t="s">
        <v>112</v>
      </c>
      <c r="B21" s="4" t="s">
        <v>113</v>
      </c>
      <c r="C21" s="4" t="s">
        <v>114</v>
      </c>
      <c r="D21" s="4" t="s">
        <v>115</v>
      </c>
      <c r="E21" s="4" t="s">
        <v>116</v>
      </c>
      <c r="F21" s="11" t="s">
        <v>41</v>
      </c>
      <c r="G21" s="12" t="s">
        <v>42</v>
      </c>
    </row>
    <row r="22" spans="1:7" ht="54" customHeight="1" x14ac:dyDescent="0.25">
      <c r="A22" s="10" t="s">
        <v>117</v>
      </c>
      <c r="B22" s="4" t="s">
        <v>118</v>
      </c>
      <c r="C22" s="4" t="s">
        <v>119</v>
      </c>
      <c r="D22" s="4" t="s">
        <v>120</v>
      </c>
      <c r="E22" s="4" t="s">
        <v>121</v>
      </c>
      <c r="F22" s="11" t="s">
        <v>41</v>
      </c>
      <c r="G22" s="12" t="s">
        <v>42</v>
      </c>
    </row>
    <row r="23" spans="1:7" ht="54" customHeight="1" x14ac:dyDescent="0.25">
      <c r="A23" s="10" t="s">
        <v>122</v>
      </c>
      <c r="B23" s="4" t="s">
        <v>123</v>
      </c>
      <c r="C23" s="4" t="s">
        <v>124</v>
      </c>
      <c r="D23" s="4" t="s">
        <v>125</v>
      </c>
      <c r="E23" s="4" t="s">
        <v>126</v>
      </c>
      <c r="F23" s="11" t="s">
        <v>41</v>
      </c>
      <c r="G23" s="12" t="s">
        <v>42</v>
      </c>
    </row>
    <row r="24" spans="1:7" ht="54" customHeight="1" x14ac:dyDescent="0.25">
      <c r="A24" s="10" t="s">
        <v>127</v>
      </c>
      <c r="B24" s="4" t="s">
        <v>128</v>
      </c>
      <c r="C24" s="4" t="s">
        <v>129</v>
      </c>
      <c r="D24" s="4" t="s">
        <v>130</v>
      </c>
      <c r="E24" s="4" t="s">
        <v>126</v>
      </c>
      <c r="F24" s="11" t="s">
        <v>41</v>
      </c>
      <c r="G24" s="12" t="s">
        <v>42</v>
      </c>
    </row>
    <row r="25" spans="1:7" ht="54" customHeight="1" x14ac:dyDescent="0.25">
      <c r="A25" s="10" t="s">
        <v>131</v>
      </c>
      <c r="B25" s="4" t="s">
        <v>132</v>
      </c>
      <c r="C25" s="4" t="s">
        <v>133</v>
      </c>
      <c r="D25" s="4" t="s">
        <v>134</v>
      </c>
      <c r="E25" s="4" t="s">
        <v>126</v>
      </c>
      <c r="F25" s="11" t="s">
        <v>41</v>
      </c>
      <c r="G25" s="12" t="s">
        <v>42</v>
      </c>
    </row>
    <row r="26" spans="1:7" ht="54" customHeight="1" x14ac:dyDescent="0.25">
      <c r="A26" s="10" t="s">
        <v>135</v>
      </c>
      <c r="B26" s="4" t="s">
        <v>136</v>
      </c>
      <c r="C26" s="4" t="s">
        <v>137</v>
      </c>
      <c r="D26" s="4" t="s">
        <v>138</v>
      </c>
      <c r="E26" s="4" t="s">
        <v>139</v>
      </c>
      <c r="F26" s="11" t="s">
        <v>41</v>
      </c>
      <c r="G26" s="12" t="s">
        <v>42</v>
      </c>
    </row>
    <row r="27" spans="1:7" ht="54" customHeight="1" x14ac:dyDescent="0.25">
      <c r="A27" s="10" t="s">
        <v>140</v>
      </c>
      <c r="B27" s="4" t="s">
        <v>141</v>
      </c>
      <c r="C27" s="4" t="s">
        <v>142</v>
      </c>
      <c r="D27" s="4" t="s">
        <v>143</v>
      </c>
      <c r="E27" s="4" t="s">
        <v>144</v>
      </c>
      <c r="F27" s="11" t="s">
        <v>41</v>
      </c>
      <c r="G27" s="12" t="s">
        <v>42</v>
      </c>
    </row>
    <row r="28" spans="1:7" ht="54" customHeight="1" x14ac:dyDescent="0.25">
      <c r="A28" s="10" t="s">
        <v>145</v>
      </c>
      <c r="B28" s="4" t="s">
        <v>146</v>
      </c>
      <c r="C28" s="4" t="s">
        <v>147</v>
      </c>
      <c r="D28" s="4" t="s">
        <v>148</v>
      </c>
      <c r="E28" s="4" t="s">
        <v>139</v>
      </c>
      <c r="F28" s="11" t="s">
        <v>41</v>
      </c>
      <c r="G28" s="12" t="s">
        <v>42</v>
      </c>
    </row>
    <row r="29" spans="1:7" ht="54" customHeight="1" x14ac:dyDescent="0.25">
      <c r="A29" s="10" t="s">
        <v>149</v>
      </c>
      <c r="B29" s="4" t="s">
        <v>150</v>
      </c>
      <c r="C29" s="4" t="s">
        <v>151</v>
      </c>
      <c r="D29" s="4" t="s">
        <v>152</v>
      </c>
      <c r="E29" s="4" t="s">
        <v>144</v>
      </c>
      <c r="F29" s="11" t="s">
        <v>41</v>
      </c>
      <c r="G29" s="12" t="s">
        <v>42</v>
      </c>
    </row>
    <row r="30" spans="1:7" ht="54" customHeight="1" x14ac:dyDescent="0.25">
      <c r="A30" s="10" t="s">
        <v>153</v>
      </c>
      <c r="B30" s="4" t="s">
        <v>154</v>
      </c>
      <c r="C30" s="4" t="s">
        <v>155</v>
      </c>
      <c r="D30" s="4" t="s">
        <v>156</v>
      </c>
      <c r="E30" s="4" t="s">
        <v>157</v>
      </c>
      <c r="F30" s="11" t="s">
        <v>41</v>
      </c>
      <c r="G30" s="12" t="s">
        <v>42</v>
      </c>
    </row>
    <row r="31" spans="1:7" ht="60" x14ac:dyDescent="0.25">
      <c r="A31" s="10" t="s">
        <v>158</v>
      </c>
      <c r="B31" s="4" t="s">
        <v>159</v>
      </c>
      <c r="C31" s="4" t="s">
        <v>160</v>
      </c>
      <c r="D31" s="4" t="s">
        <v>161</v>
      </c>
      <c r="E31" s="4" t="s">
        <v>162</v>
      </c>
      <c r="F31" s="11" t="s">
        <v>41</v>
      </c>
      <c r="G31" s="12" t="s">
        <v>42</v>
      </c>
    </row>
  </sheetData>
  <mergeCells count="2">
    <mergeCell ref="A1:G1"/>
    <mergeCell ref="A2:G2"/>
  </mergeCells>
  <pageMargins left="0.3" right="0.3" top="0.44999999999999996" bottom="0.44999999999999996" header="0.15" footer="0.2"/>
  <pageSetup paperSize="8" scale="89" fitToHeight="0" orientation="landscape"/>
  <headerFooter>
    <oddHeader>&amp;C&amp;BDecisions</oddHeader>
    <oddFooter>&amp;LSector v0.93 decision register&amp;RPage &amp;P of &amp;N</oddFooter>
  </headerFooter>
  <rowBreaks count="2" manualBreakCount="2">
    <brk id="13" max="6" man="1"/>
    <brk id="22" max="6"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EBBF6-C8BD-415D-8C47-5F19C18C863D}">
  <sheetPr>
    <pageSetUpPr fitToPage="1"/>
  </sheetPr>
  <dimension ref="A1:D14"/>
  <sheetViews>
    <sheetView showGridLines="0" workbookViewId="0">
      <pane ySplit="4" topLeftCell="A5" activePane="bottomLeft" state="frozenSplit"/>
      <selection pane="bottomLeft" sqref="A1:D1"/>
    </sheetView>
  </sheetViews>
  <sheetFormatPr defaultRowHeight="15" x14ac:dyDescent="0.25"/>
  <cols>
    <col min="1" max="1" width="10.7109375" customWidth="1"/>
    <col min="2" max="2" width="62.7109375" customWidth="1"/>
    <col min="3" max="3" width="32.7109375" customWidth="1"/>
    <col min="4" max="4" width="18.7109375" customWidth="1"/>
  </cols>
  <sheetData>
    <row r="1" spans="1:4" ht="33.950000000000003" customHeight="1" x14ac:dyDescent="0.25">
      <c r="A1" s="1" t="s">
        <v>163</v>
      </c>
      <c r="B1" s="1"/>
      <c r="C1" s="1"/>
      <c r="D1" s="1"/>
    </row>
    <row r="2" spans="1:4" ht="30" customHeight="1" x14ac:dyDescent="0.25">
      <c r="A2" s="2" t="s">
        <v>164</v>
      </c>
      <c r="B2" s="2"/>
      <c r="C2" s="2"/>
      <c r="D2" s="2"/>
    </row>
    <row r="4" spans="1:4" ht="32.1" customHeight="1" x14ac:dyDescent="0.25">
      <c r="A4" s="3" t="s">
        <v>165</v>
      </c>
      <c r="B4" s="3" t="s">
        <v>166</v>
      </c>
      <c r="C4" s="3" t="s">
        <v>167</v>
      </c>
      <c r="D4" s="3" t="s">
        <v>34</v>
      </c>
    </row>
    <row r="5" spans="1:4" ht="33.950000000000003" customHeight="1" x14ac:dyDescent="0.25">
      <c r="A5" s="10">
        <v>1</v>
      </c>
      <c r="B5" s="4" t="s">
        <v>168</v>
      </c>
      <c r="C5" s="4" t="s">
        <v>169</v>
      </c>
      <c r="D5" s="12" t="s">
        <v>170</v>
      </c>
    </row>
    <row r="6" spans="1:4" ht="33.950000000000003" customHeight="1" x14ac:dyDescent="0.25">
      <c r="A6" s="10">
        <v>2</v>
      </c>
      <c r="B6" s="4" t="s">
        <v>171</v>
      </c>
      <c r="C6" s="4" t="s">
        <v>172</v>
      </c>
      <c r="D6" s="12" t="s">
        <v>170</v>
      </c>
    </row>
    <row r="7" spans="1:4" ht="33.950000000000003" customHeight="1" x14ac:dyDescent="0.25">
      <c r="A7" s="10">
        <v>3</v>
      </c>
      <c r="B7" s="4" t="s">
        <v>173</v>
      </c>
      <c r="C7" s="4" t="s">
        <v>102</v>
      </c>
      <c r="D7" s="12" t="s">
        <v>170</v>
      </c>
    </row>
    <row r="8" spans="1:4" ht="33.950000000000003" customHeight="1" x14ac:dyDescent="0.25">
      <c r="A8" s="10">
        <v>4</v>
      </c>
      <c r="B8" s="4" t="s">
        <v>174</v>
      </c>
      <c r="C8" s="4" t="s">
        <v>102</v>
      </c>
      <c r="D8" s="12" t="s">
        <v>170</v>
      </c>
    </row>
    <row r="9" spans="1:4" ht="33.950000000000003" customHeight="1" x14ac:dyDescent="0.25">
      <c r="A9" s="10">
        <v>5</v>
      </c>
      <c r="B9" s="4" t="s">
        <v>175</v>
      </c>
      <c r="C9" s="4" t="s">
        <v>57</v>
      </c>
      <c r="D9" s="12" t="s">
        <v>170</v>
      </c>
    </row>
    <row r="10" spans="1:4" ht="33.950000000000003" customHeight="1" x14ac:dyDescent="0.25">
      <c r="A10" s="10">
        <v>6</v>
      </c>
      <c r="B10" s="4" t="s">
        <v>176</v>
      </c>
      <c r="C10" s="4" t="s">
        <v>177</v>
      </c>
      <c r="D10" s="12" t="s">
        <v>170</v>
      </c>
    </row>
    <row r="11" spans="1:4" ht="33.950000000000003" customHeight="1" x14ac:dyDescent="0.25">
      <c r="A11" s="10">
        <v>7</v>
      </c>
      <c r="B11" s="4" t="s">
        <v>178</v>
      </c>
      <c r="C11" s="4" t="s">
        <v>179</v>
      </c>
      <c r="D11" s="12" t="s">
        <v>170</v>
      </c>
    </row>
    <row r="12" spans="1:4" ht="33.950000000000003" customHeight="1" x14ac:dyDescent="0.25">
      <c r="A12" s="10">
        <v>8</v>
      </c>
      <c r="B12" s="4" t="s">
        <v>180</v>
      </c>
      <c r="C12" s="4" t="s">
        <v>181</v>
      </c>
      <c r="D12" s="12" t="s">
        <v>170</v>
      </c>
    </row>
    <row r="13" spans="1:4" ht="33.950000000000003" customHeight="1" x14ac:dyDescent="0.25">
      <c r="A13" s="10">
        <v>9</v>
      </c>
      <c r="B13" s="4" t="s">
        <v>182</v>
      </c>
      <c r="C13" s="4" t="s">
        <v>126</v>
      </c>
      <c r="D13" s="12" t="s">
        <v>170</v>
      </c>
    </row>
    <row r="14" spans="1:4" ht="33.950000000000003" customHeight="1" x14ac:dyDescent="0.25">
      <c r="A14" s="10">
        <v>10</v>
      </c>
      <c r="B14" s="4" t="s">
        <v>183</v>
      </c>
      <c r="C14" s="4" t="s">
        <v>184</v>
      </c>
      <c r="D14" s="12" t="s">
        <v>170</v>
      </c>
    </row>
  </sheetData>
  <mergeCells count="2">
    <mergeCell ref="A1:D1"/>
    <mergeCell ref="A2:D2"/>
  </mergeCells>
  <pageMargins left="0.3" right="0.3" top="0.44999999999999996" bottom="0.44999999999999996" header="0.15" footer="0.2"/>
  <pageSetup paperSize="9" scale="92" orientation="landscape"/>
  <headerFooter>
    <oddHeader>&amp;C&amp;BPR Programme</oddHeader>
    <oddFooter>&amp;LSector v0.93 decision register&amp;RPage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C4F4F-B574-43EF-9AE2-41678665BE60}">
  <sheetPr>
    <pageSetUpPr fitToPage="1"/>
  </sheetPr>
  <dimension ref="A1:D8"/>
  <sheetViews>
    <sheetView showGridLines="0" workbookViewId="0">
      <pane ySplit="4" topLeftCell="A5" activePane="bottomLeft" state="frozenSplit"/>
      <selection pane="bottomLeft" sqref="A1:D1"/>
    </sheetView>
  </sheetViews>
  <sheetFormatPr defaultRowHeight="15" x14ac:dyDescent="0.25"/>
  <cols>
    <col min="1" max="1" width="34.7109375" customWidth="1"/>
    <col min="2" max="2" width="57.7109375" customWidth="1"/>
    <col min="3" max="3" width="56.7109375" customWidth="1"/>
    <col min="4" max="4" width="64.7109375" customWidth="1"/>
  </cols>
  <sheetData>
    <row r="1" spans="1:4" ht="33.950000000000003" customHeight="1" x14ac:dyDescent="0.25">
      <c r="A1" s="1" t="s">
        <v>185</v>
      </c>
      <c r="B1" s="1"/>
      <c r="C1" s="1"/>
      <c r="D1" s="1"/>
    </row>
    <row r="2" spans="1:4" ht="30" customHeight="1" x14ac:dyDescent="0.25">
      <c r="A2" s="2" t="s">
        <v>186</v>
      </c>
      <c r="B2" s="2"/>
      <c r="C2" s="2"/>
      <c r="D2" s="2"/>
    </row>
    <row r="4" spans="1:4" ht="32.1" customHeight="1" x14ac:dyDescent="0.25">
      <c r="A4" s="3" t="s">
        <v>187</v>
      </c>
      <c r="B4" s="3" t="s">
        <v>188</v>
      </c>
      <c r="C4" s="3" t="s">
        <v>189</v>
      </c>
      <c r="D4" s="3" t="s">
        <v>190</v>
      </c>
    </row>
    <row r="5" spans="1:4" ht="87.95" customHeight="1" x14ac:dyDescent="0.25">
      <c r="A5" s="4" t="s">
        <v>191</v>
      </c>
      <c r="B5" s="4" t="s">
        <v>192</v>
      </c>
      <c r="C5" s="4" t="s">
        <v>193</v>
      </c>
      <c r="D5" s="4" t="s">
        <v>194</v>
      </c>
    </row>
    <row r="6" spans="1:4" ht="87.95" customHeight="1" x14ac:dyDescent="0.25">
      <c r="A6" s="4" t="s">
        <v>195</v>
      </c>
      <c r="B6" s="4" t="s">
        <v>196</v>
      </c>
      <c r="C6" s="4" t="s">
        <v>197</v>
      </c>
      <c r="D6" s="4" t="s">
        <v>198</v>
      </c>
    </row>
    <row r="7" spans="1:4" ht="87.95" customHeight="1" x14ac:dyDescent="0.25">
      <c r="A7" s="4" t="s">
        <v>199</v>
      </c>
      <c r="B7" s="4" t="s">
        <v>200</v>
      </c>
      <c r="C7" s="4" t="s">
        <v>201</v>
      </c>
      <c r="D7" s="4" t="s">
        <v>202</v>
      </c>
    </row>
    <row r="8" spans="1:4" ht="87.95" customHeight="1" x14ac:dyDescent="0.25">
      <c r="A8" s="4" t="s">
        <v>203</v>
      </c>
      <c r="B8" s="4" t="s">
        <v>204</v>
      </c>
      <c r="C8" s="4" t="s">
        <v>205</v>
      </c>
      <c r="D8" s="4" t="s">
        <v>206</v>
      </c>
    </row>
  </sheetData>
  <mergeCells count="2">
    <mergeCell ref="A1:D1"/>
    <mergeCell ref="A2:D2"/>
  </mergeCells>
  <pageMargins left="0.3" right="0.3" top="0.44999999999999996" bottom="0.44999999999999996" header="0.15" footer="0.2"/>
  <pageSetup paperSize="8" scale="95" fitToHeight="0" orientation="landscape"/>
  <headerFooter>
    <oddHeader>&amp;C&amp;BStandards</oddHeader>
    <oddFooter>&amp;LSector v0.93 decision register&amp;RPage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38BA-E56D-4787-93DF-CEA46CB6DD99}">
  <sheetPr>
    <pageSetUpPr fitToPage="1"/>
  </sheetPr>
  <dimension ref="A1:D19"/>
  <sheetViews>
    <sheetView showGridLines="0" workbookViewId="0">
      <pane ySplit="4" topLeftCell="A5" activePane="bottomLeft" state="frozenSplit"/>
      <selection pane="bottomLeft" sqref="A1:D1"/>
    </sheetView>
  </sheetViews>
  <sheetFormatPr defaultRowHeight="15" x14ac:dyDescent="0.25"/>
  <cols>
    <col min="1" max="1" width="14.7109375" customWidth="1"/>
    <col min="2" max="2" width="18.7109375" customWidth="1"/>
    <col min="3" max="3" width="65.7109375" customWidth="1"/>
    <col min="4" max="4" width="70.7109375" customWidth="1"/>
  </cols>
  <sheetData>
    <row r="1" spans="1:4" ht="33.950000000000003" customHeight="1" x14ac:dyDescent="0.25">
      <c r="A1" s="1" t="s">
        <v>207</v>
      </c>
      <c r="B1" s="1"/>
      <c r="C1" s="1"/>
      <c r="D1" s="1"/>
    </row>
    <row r="2" spans="1:4" ht="30" customHeight="1" x14ac:dyDescent="0.25">
      <c r="A2" s="2" t="s">
        <v>208</v>
      </c>
      <c r="B2" s="2"/>
      <c r="C2" s="2"/>
      <c r="D2" s="2"/>
    </row>
    <row r="4" spans="1:4" ht="32.1" customHeight="1" x14ac:dyDescent="0.25">
      <c r="A4" s="3" t="s">
        <v>209</v>
      </c>
      <c r="B4" s="3" t="s">
        <v>210</v>
      </c>
      <c r="C4" s="3" t="s">
        <v>211</v>
      </c>
      <c r="D4" s="3" t="s">
        <v>212</v>
      </c>
    </row>
    <row r="5" spans="1:4" ht="69.95" customHeight="1" x14ac:dyDescent="0.25">
      <c r="A5" s="10" t="s">
        <v>213</v>
      </c>
      <c r="B5" s="4">
        <v>1</v>
      </c>
      <c r="C5" s="4" t="s">
        <v>214</v>
      </c>
      <c r="D5" s="4" t="s">
        <v>215</v>
      </c>
    </row>
    <row r="6" spans="1:4" ht="69.95" customHeight="1" x14ac:dyDescent="0.25">
      <c r="A6" s="10" t="s">
        <v>213</v>
      </c>
      <c r="B6" s="4">
        <v>2</v>
      </c>
      <c r="C6" s="4" t="s">
        <v>216</v>
      </c>
      <c r="D6" s="4" t="s">
        <v>217</v>
      </c>
    </row>
    <row r="7" spans="1:4" ht="69.95" customHeight="1" x14ac:dyDescent="0.25">
      <c r="A7" s="10" t="s">
        <v>213</v>
      </c>
      <c r="B7" s="4">
        <v>11</v>
      </c>
      <c r="C7" s="4" t="s">
        <v>218</v>
      </c>
      <c r="D7" s="4" t="s">
        <v>219</v>
      </c>
    </row>
    <row r="8" spans="1:4" ht="69.95" customHeight="1" x14ac:dyDescent="0.25">
      <c r="A8" s="10" t="s">
        <v>213</v>
      </c>
      <c r="B8" s="4" t="s">
        <v>220</v>
      </c>
      <c r="C8" s="4" t="s">
        <v>221</v>
      </c>
      <c r="D8" s="4" t="s">
        <v>222</v>
      </c>
    </row>
    <row r="9" spans="1:4" ht="69.95" customHeight="1" x14ac:dyDescent="0.25">
      <c r="A9" s="10" t="s">
        <v>213</v>
      </c>
      <c r="B9" s="4" t="s">
        <v>223</v>
      </c>
      <c r="C9" s="4" t="s">
        <v>224</v>
      </c>
      <c r="D9" s="4" t="s">
        <v>225</v>
      </c>
    </row>
    <row r="10" spans="1:4" ht="69.95" customHeight="1" x14ac:dyDescent="0.25">
      <c r="A10" s="10" t="s">
        <v>213</v>
      </c>
      <c r="B10" s="4">
        <v>41</v>
      </c>
      <c r="C10" s="4" t="s">
        <v>226</v>
      </c>
      <c r="D10" s="4" t="s">
        <v>227</v>
      </c>
    </row>
    <row r="11" spans="1:4" ht="69.95" customHeight="1" x14ac:dyDescent="0.25">
      <c r="A11" s="10" t="s">
        <v>213</v>
      </c>
      <c r="B11" s="4" t="s">
        <v>228</v>
      </c>
      <c r="C11" s="4" t="s">
        <v>229</v>
      </c>
      <c r="D11" s="4" t="s">
        <v>230</v>
      </c>
    </row>
    <row r="12" spans="1:4" ht="69.95" customHeight="1" x14ac:dyDescent="0.25">
      <c r="A12" s="10" t="s">
        <v>231</v>
      </c>
      <c r="B12" s="4">
        <v>2</v>
      </c>
      <c r="C12" s="4" t="s">
        <v>232</v>
      </c>
      <c r="D12" s="4" t="s">
        <v>233</v>
      </c>
    </row>
    <row r="13" spans="1:4" ht="69.95" customHeight="1" x14ac:dyDescent="0.25">
      <c r="A13" s="10" t="s">
        <v>231</v>
      </c>
      <c r="B13" s="4" t="s">
        <v>234</v>
      </c>
      <c r="C13" s="4" t="s">
        <v>235</v>
      </c>
      <c r="D13" s="4" t="s">
        <v>236</v>
      </c>
    </row>
    <row r="14" spans="1:4" ht="69.95" customHeight="1" x14ac:dyDescent="0.25">
      <c r="A14" s="10" t="s">
        <v>231</v>
      </c>
      <c r="B14" s="4" t="s">
        <v>237</v>
      </c>
      <c r="C14" s="4" t="s">
        <v>238</v>
      </c>
      <c r="D14" s="4" t="s">
        <v>239</v>
      </c>
    </row>
    <row r="15" spans="1:4" ht="69.95" customHeight="1" x14ac:dyDescent="0.25">
      <c r="A15" s="10" t="s">
        <v>231</v>
      </c>
      <c r="B15" s="4">
        <v>42</v>
      </c>
      <c r="C15" s="4" t="s">
        <v>240</v>
      </c>
      <c r="D15" s="4" t="s">
        <v>241</v>
      </c>
    </row>
    <row r="16" spans="1:4" ht="69.95" customHeight="1" x14ac:dyDescent="0.25">
      <c r="A16" s="10" t="s">
        <v>231</v>
      </c>
      <c r="B16" s="4">
        <v>43</v>
      </c>
      <c r="C16" s="4" t="s">
        <v>242</v>
      </c>
      <c r="D16" s="4" t="s">
        <v>243</v>
      </c>
    </row>
    <row r="17" spans="1:4" ht="69.95" customHeight="1" x14ac:dyDescent="0.25">
      <c r="A17" s="10" t="s">
        <v>231</v>
      </c>
      <c r="B17" s="4" t="s">
        <v>244</v>
      </c>
      <c r="C17" s="4" t="s">
        <v>245</v>
      </c>
      <c r="D17" s="4" t="s">
        <v>246</v>
      </c>
    </row>
    <row r="18" spans="1:4" ht="69.95" customHeight="1" x14ac:dyDescent="0.25">
      <c r="A18" s="10" t="s">
        <v>231</v>
      </c>
      <c r="B18" s="4">
        <v>55</v>
      </c>
      <c r="C18" s="4" t="s">
        <v>247</v>
      </c>
      <c r="D18" s="4" t="s">
        <v>248</v>
      </c>
    </row>
    <row r="19" spans="1:4" ht="69.95" customHeight="1" x14ac:dyDescent="0.25">
      <c r="A19" s="10" t="s">
        <v>231</v>
      </c>
      <c r="B19" s="4">
        <v>56</v>
      </c>
      <c r="C19" s="4" t="s">
        <v>249</v>
      </c>
      <c r="D19" s="4" t="s">
        <v>250</v>
      </c>
    </row>
  </sheetData>
  <mergeCells count="2">
    <mergeCell ref="A1:D1"/>
    <mergeCell ref="A2:D2"/>
  </mergeCells>
  <pageMargins left="0.3" right="0.3" top="0.44999999999999996" bottom="0.44999999999999996" header="0.15" footer="0.2"/>
  <pageSetup paperSize="8" fitToHeight="0" orientation="landscape"/>
  <headerFooter>
    <oddHeader>&amp;C&amp;BPublication QA</oddHeader>
    <oddFooter>&amp;LSector v0.93 decision register&amp;RPage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Read Me</vt:lpstr>
      <vt:lpstr>Decisions</vt:lpstr>
      <vt:lpstr>PR Programme</vt:lpstr>
      <vt:lpstr>Standards</vt:lpstr>
      <vt:lpstr>Publication QA</vt:lpstr>
      <vt:lpstr>Decisions!Print_Area</vt:lpstr>
      <vt:lpstr>'PR Programme'!Print_Area</vt:lpstr>
      <vt:lpstr>'Publication QA'!Print_Area</vt:lpstr>
      <vt:lpstr>'Read Me'!Print_Area</vt:lpstr>
      <vt:lpstr>Standards!Print_Area</vt:lpstr>
      <vt:lpstr>Decisions!Print_Titles</vt:lpstr>
      <vt:lpstr>'PR Programme'!Print_Titles</vt:lpstr>
      <vt:lpstr>'Publication QA'!Print_Titles</vt:lpstr>
      <vt:lpstr>'Read Me'!Print_Titles</vt:lpstr>
      <vt:lpstr>Standards!Print_Titles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Kasper Lindskov Fabricius</dc:creator>
  <cp:lastModifiedBy>Kasper Lindskov Fabricius</cp:lastModifiedBy>
  <cp:lastPrinted>2026-08-12T13:01:48Z</cp:lastPrinted>
  <dcterms:created xsi:type="dcterms:W3CDTF">2026-08-12T13:00:08Z</dcterms:created>
  <dcterms:modified xsi:type="dcterms:W3CDTF">2026-08-12T13:01:50Z</dcterms:modified>
</cp:coreProperties>
</file>